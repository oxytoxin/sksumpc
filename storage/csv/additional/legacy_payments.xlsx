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rry/Herd/sksumpc/storage/csv/additional/"/>
    </mc:Choice>
  </mc:AlternateContent>
  <xr:revisionPtr revIDLastSave="0" documentId="13_ncr:1_{8D0823DF-F2A2-184B-8868-F1CB90EEE7AE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43" i="1"/>
  <c r="H41" i="1"/>
  <c r="H42" i="1"/>
  <c r="H39" i="1"/>
  <c r="H38" i="1"/>
  <c r="H33" i="1"/>
  <c r="H32" i="1"/>
  <c r="H45" i="1"/>
  <c r="H40" i="1" l="1"/>
  <c r="H26" i="1" l="1"/>
  <c r="H27" i="1"/>
  <c r="H28" i="1"/>
  <c r="H29" i="1"/>
  <c r="H30" i="1"/>
  <c r="H31" i="1"/>
  <c r="H34" i="1"/>
  <c r="H35" i="1"/>
  <c r="H36" i="1"/>
  <c r="H37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sharedStrings.xml><?xml version="1.0" encoding="utf-8"?>
<sst xmlns="http://schemas.openxmlformats.org/spreadsheetml/2006/main" count="86" uniqueCount="76">
  <si>
    <t>RABUT, BENEDICT</t>
  </si>
  <si>
    <t>NO.</t>
  </si>
  <si>
    <t>CAMARAO, MICHEAL KENNEDY</t>
  </si>
  <si>
    <t>GOLENG, FATIMA</t>
  </si>
  <si>
    <t>LEQUIGAN, EDUARDO</t>
  </si>
  <si>
    <t>COGO, DONALD</t>
  </si>
  <si>
    <t>TAMAMA, MOHAIDA</t>
  </si>
  <si>
    <t>GUINSAN, JOSUE</t>
  </si>
  <si>
    <t>DADOR, ROSELEN</t>
  </si>
  <si>
    <t>IBOT, LEONARDO</t>
  </si>
  <si>
    <t>DULIN, VELESSA JANE</t>
  </si>
  <si>
    <t>PANAGDATO, PERCILA</t>
  </si>
  <si>
    <t>BIBAT, ANTONIO</t>
  </si>
  <si>
    <t>ACCAD, ABRAHAM</t>
  </si>
  <si>
    <t>GAMBOL, JOVY</t>
  </si>
  <si>
    <t>PANES, ROGELIO</t>
  </si>
  <si>
    <t>SOBREDILLA, SUSANA</t>
  </si>
  <si>
    <t>RIVERA. CARLOS</t>
  </si>
  <si>
    <t>PRIMACIO, JOANA MONA</t>
  </si>
  <si>
    <t>FREIRES, JOSEPHINE</t>
  </si>
  <si>
    <t>TAMPUS, DOREEN</t>
  </si>
  <si>
    <t>LOSANES, SUSAN</t>
  </si>
  <si>
    <t>REYES, MARIANIE</t>
  </si>
  <si>
    <t>LANCITA, ESTHER</t>
  </si>
  <si>
    <t>DAGON, MAZIE JOYCE</t>
  </si>
  <si>
    <t>DISTOR, YAKIMUR</t>
  </si>
  <si>
    <t>ESTRELLA, ARNOLD</t>
  </si>
  <si>
    <t>CANDIDO, JACQUILINE</t>
  </si>
  <si>
    <t>DADOLI, LEAH</t>
  </si>
  <si>
    <t>PANIMBANG, BADU</t>
  </si>
  <si>
    <t>date</t>
  </si>
  <si>
    <t>member_id</t>
  </si>
  <si>
    <t>name</t>
  </si>
  <si>
    <t>reference_number</t>
  </si>
  <si>
    <t>principal</t>
  </si>
  <si>
    <t>interest</t>
  </si>
  <si>
    <t>amount</t>
  </si>
  <si>
    <t>SIL#478</t>
  </si>
  <si>
    <t>SIL#479</t>
  </si>
  <si>
    <t>SIL#480</t>
  </si>
  <si>
    <t>SIL#481</t>
  </si>
  <si>
    <t>SIL#482</t>
  </si>
  <si>
    <t>SIL#486</t>
  </si>
  <si>
    <t>SIL#495</t>
  </si>
  <si>
    <t>SIL#500</t>
  </si>
  <si>
    <t>SIL#532</t>
  </si>
  <si>
    <t>SIL#534</t>
  </si>
  <si>
    <t>SIL#536</t>
  </si>
  <si>
    <t>SIL#537</t>
  </si>
  <si>
    <t>SIL#538</t>
  </si>
  <si>
    <t>SIL#544</t>
  </si>
  <si>
    <t>SIL# 546</t>
  </si>
  <si>
    <t>SIL# 549</t>
  </si>
  <si>
    <t>SIL# 555</t>
  </si>
  <si>
    <t>SIL#573</t>
  </si>
  <si>
    <t>636-CL</t>
  </si>
  <si>
    <t>636-PL</t>
  </si>
  <si>
    <t>636-EL</t>
  </si>
  <si>
    <t>668-EL</t>
  </si>
  <si>
    <t>668-CL</t>
  </si>
  <si>
    <t>668-PL</t>
  </si>
  <si>
    <t>#726</t>
  </si>
  <si>
    <t>785 -SC</t>
  </si>
  <si>
    <t>938.</t>
  </si>
  <si>
    <t>BARROQUILLO, ROSALIE</t>
  </si>
  <si>
    <t>1154.</t>
  </si>
  <si>
    <t>727</t>
  </si>
  <si>
    <t>888</t>
  </si>
  <si>
    <t>KAPUNAN, MERLE</t>
  </si>
  <si>
    <t>1108</t>
  </si>
  <si>
    <t>BUENAVIDES, ELMER C.</t>
  </si>
  <si>
    <t>1114</t>
  </si>
  <si>
    <t>KASIM, KORRIE</t>
  </si>
  <si>
    <t>1135</t>
  </si>
  <si>
    <t>PENIERO, CHERRY ROSE</t>
  </si>
  <si>
    <t>1158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</si>
</sst>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color theme="3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3" fontId="1" fillId="0" borderId="0" xfId="0" applyNumberFormat="1" applyFont="1"/>
    <xf numFmtId="0" fontId="2" fillId="0" borderId="0" xfId="0" applyFont="1"/>
    <xf numFmtId="43" fontId="2" fillId="0" borderId="0" xfId="0" applyNumberFormat="1" applyFont="1"/>
    <xf numFmtId="0" fontId="3" fillId="0" borderId="0" xfId="0" applyFont="1"/>
    <xf numFmtId="14" fontId="1" fillId="0" borderId="1" xfId="0" applyNumberFormat="1" applyFont="1" applyBorder="1"/>
    <xf numFmtId="0" fontId="1" fillId="0" borderId="1" xfId="0" applyFont="1" applyBorder="1"/>
    <xf numFmtId="43" fontId="1" fillId="0" borderId="1" xfId="0" applyNumberFormat="1" applyFont="1" applyBorder="1"/>
    <xf numFmtId="14" fontId="3" fillId="0" borderId="1" xfId="0" applyNumberFormat="1" applyFont="1" applyBorder="1"/>
    <xf numFmtId="0" fontId="3" fillId="0" borderId="1" xfId="0" applyFont="1" applyBorder="1"/>
    <xf numFmtId="43" fontId="3" fillId="0" borderId="1" xfId="0" applyNumberFormat="1" applyFont="1" applyBorder="1"/>
    <xf numFmtId="0" fontId="4" fillId="0" borderId="0" xfId="0" applyFont="1"/>
    <xf numFmtId="14" fontId="4" fillId="0" borderId="1" xfId="0" applyNumberFormat="1" applyFont="1" applyBorder="1"/>
    <xf numFmtId="0" fontId="4" fillId="0" borderId="1" xfId="0" applyFont="1" applyBorder="1"/>
    <xf numFmtId="43" fontId="4" fillId="0" borderId="1" xfId="0" applyNumberFormat="1" applyFont="1" applyBorder="1"/>
    <xf numFmtId="43" fontId="4" fillId="0" borderId="0" xfId="0" applyNumberFormat="1" applyFont="1"/>
    <xf numFmtId="49" fontId="4" fillId="0" borderId="1" xfId="0" quotePrefix="1" applyNumberFormat="1" applyFont="1" applyBorder="1"/>
    <xf numFmtId="49" fontId="2" fillId="0" borderId="0" xfId="0" applyNumberFormat="1" applyFont="1"/>
    <xf numFmtId="49" fontId="1" fillId="0" borderId="1" xfId="0" applyNumberFormat="1" applyFont="1" applyBorder="1"/>
    <xf numFmtId="49" fontId="3" fillId="0" borderId="1" xfId="0" applyNumberFormat="1" applyFont="1" applyBorder="1"/>
    <xf numFmtId="49" fontId="4" fillId="0" borderId="1" xfId="0" applyNumberFormat="1" applyFont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B23" workbookViewId="0">
      <selection activeCell="K42" sqref="K42"/>
    </sheetView>
  </sheetViews>
  <sheetFormatPr baseColWidth="10" defaultColWidth="9.1640625" defaultRowHeight="16" x14ac:dyDescent="0.2"/>
  <cols>
    <col min="1" max="1" width="6.5" style="1" hidden="1" customWidth="1"/>
    <col min="2" max="2" width="12.5" style="1" customWidth="1"/>
    <col min="3" max="4" width="22.33203125" style="1" customWidth="1"/>
    <col min="5" max="5" width="23.83203125" style="22" customWidth="1"/>
    <col min="6" max="6" width="16.33203125" style="2" customWidth="1"/>
    <col min="7" max="7" width="12.33203125" style="2" customWidth="1"/>
    <col min="8" max="8" width="16.5" style="2" customWidth="1"/>
    <col min="9" max="9" width="9.1640625" style="1"/>
    <col min="10" max="10" width="14.33203125" style="1" bestFit="1" customWidth="1"/>
    <col min="11" max="16384" width="9.1640625" style="1"/>
  </cols>
  <sheetData>
    <row r="1" spans="1:8" s="3" customFormat="1" x14ac:dyDescent="0.2">
      <c r="A1" s="3" t="s">
        <v>1</v>
      </c>
      <c r="B1" s="3" t="s">
        <v>30</v>
      </c>
      <c r="C1" s="3" t="s">
        <v>32</v>
      </c>
      <c r="D1" s="3" t="s">
        <v>31</v>
      </c>
      <c r="E1" s="18" t="s">
        <v>33</v>
      </c>
      <c r="F1" s="4" t="s">
        <v>34</v>
      </c>
      <c r="G1" s="4" t="s">
        <v>35</v>
      </c>
      <c r="H1" s="4" t="s">
        <v>36</v>
      </c>
    </row>
    <row r="2" spans="1:8" ht="25" customHeight="1" x14ac:dyDescent="0.2">
      <c r="A2" s="1">
        <v>1</v>
      </c>
      <c r="B2" s="6">
        <v>45799</v>
      </c>
      <c r="C2" s="7" t="s">
        <v>0</v>
      </c>
      <c r="D2" s="7">
        <v>445</v>
      </c>
      <c r="E2" s="19" t="s">
        <v>37</v>
      </c>
      <c r="F2" s="8">
        <v>30000</v>
      </c>
      <c r="G2" s="8">
        <v>20</v>
      </c>
      <c r="H2" s="8">
        <f t="shared" ref="H2:H45" si="0">SUM(F2:G2)</f>
        <v>30020</v>
      </c>
    </row>
    <row r="3" spans="1:8" ht="25" customHeight="1" x14ac:dyDescent="0.2">
      <c r="A3" s="1">
        <v>2</v>
      </c>
      <c r="B3" s="6">
        <v>45799</v>
      </c>
      <c r="C3" s="7" t="s">
        <v>2</v>
      </c>
      <c r="D3" s="7">
        <v>214</v>
      </c>
      <c r="E3" s="19" t="s">
        <v>38</v>
      </c>
      <c r="F3" s="8">
        <v>40000</v>
      </c>
      <c r="G3" s="8">
        <v>26.67</v>
      </c>
      <c r="H3" s="8">
        <f t="shared" si="0"/>
        <v>40026.67</v>
      </c>
    </row>
    <row r="4" spans="1:8" ht="25" customHeight="1" x14ac:dyDescent="0.2">
      <c r="A4" s="1">
        <v>3</v>
      </c>
      <c r="B4" s="6">
        <v>45799</v>
      </c>
      <c r="C4" s="7" t="s">
        <v>3</v>
      </c>
      <c r="D4" s="7">
        <v>310</v>
      </c>
      <c r="E4" s="19" t="s">
        <v>39</v>
      </c>
      <c r="F4" s="8">
        <v>35000</v>
      </c>
      <c r="G4" s="8">
        <v>23.33</v>
      </c>
      <c r="H4" s="8">
        <f t="shared" si="0"/>
        <v>35023.33</v>
      </c>
    </row>
    <row r="5" spans="1:8" ht="25" customHeight="1" x14ac:dyDescent="0.2">
      <c r="A5" s="1">
        <v>4</v>
      </c>
      <c r="B5" s="6">
        <v>45799</v>
      </c>
      <c r="C5" s="7" t="s">
        <v>4</v>
      </c>
      <c r="D5" s="7">
        <v>353</v>
      </c>
      <c r="E5" s="19" t="s">
        <v>40</v>
      </c>
      <c r="F5" s="8">
        <v>23000</v>
      </c>
      <c r="G5" s="8">
        <v>15.33</v>
      </c>
      <c r="H5" s="8">
        <f t="shared" si="0"/>
        <v>23015.33</v>
      </c>
    </row>
    <row r="6" spans="1:8" ht="25" customHeight="1" x14ac:dyDescent="0.2">
      <c r="A6" s="1">
        <v>5</v>
      </c>
      <c r="B6" s="6">
        <v>45799</v>
      </c>
      <c r="C6" s="7" t="s">
        <v>5</v>
      </c>
      <c r="D6" s="7">
        <v>225</v>
      </c>
      <c r="E6" s="19" t="s">
        <v>41</v>
      </c>
      <c r="F6" s="8">
        <v>21000</v>
      </c>
      <c r="G6" s="8">
        <v>14</v>
      </c>
      <c r="H6" s="8">
        <f t="shared" si="0"/>
        <v>21014</v>
      </c>
    </row>
    <row r="7" spans="1:8" ht="25" customHeight="1" x14ac:dyDescent="0.2">
      <c r="A7" s="1">
        <v>6</v>
      </c>
      <c r="B7" s="6">
        <v>45800</v>
      </c>
      <c r="C7" s="7" t="s">
        <v>6</v>
      </c>
      <c r="D7" s="7">
        <v>482</v>
      </c>
      <c r="E7" s="19" t="s">
        <v>42</v>
      </c>
      <c r="F7" s="8">
        <v>15000</v>
      </c>
      <c r="G7" s="8">
        <v>15</v>
      </c>
      <c r="H7" s="8">
        <f t="shared" si="0"/>
        <v>15015</v>
      </c>
    </row>
    <row r="8" spans="1:8" ht="25" customHeight="1" x14ac:dyDescent="0.2">
      <c r="A8" s="1">
        <v>7</v>
      </c>
      <c r="B8" s="6">
        <v>45803</v>
      </c>
      <c r="C8" s="7" t="s">
        <v>7</v>
      </c>
      <c r="D8" s="7">
        <v>313</v>
      </c>
      <c r="E8" s="19" t="s">
        <v>43</v>
      </c>
      <c r="F8" s="8">
        <v>24000</v>
      </c>
      <c r="G8" s="8">
        <v>32</v>
      </c>
      <c r="H8" s="8">
        <f t="shared" si="0"/>
        <v>24032</v>
      </c>
    </row>
    <row r="9" spans="1:8" ht="25" customHeight="1" x14ac:dyDescent="0.2">
      <c r="A9" s="1">
        <v>8</v>
      </c>
      <c r="B9" s="6">
        <v>45803</v>
      </c>
      <c r="C9" s="7" t="s">
        <v>8</v>
      </c>
      <c r="D9" s="7">
        <v>238</v>
      </c>
      <c r="E9" s="19" t="s">
        <v>44</v>
      </c>
      <c r="F9" s="8">
        <v>12100</v>
      </c>
      <c r="G9" s="8">
        <v>16.13</v>
      </c>
      <c r="H9" s="8">
        <f t="shared" si="0"/>
        <v>12116.13</v>
      </c>
    </row>
    <row r="10" spans="1:8" ht="25" customHeight="1" x14ac:dyDescent="0.2">
      <c r="A10" s="1">
        <v>9</v>
      </c>
      <c r="B10" s="6">
        <v>45806</v>
      </c>
      <c r="C10" s="7" t="s">
        <v>9</v>
      </c>
      <c r="D10" s="7">
        <v>326</v>
      </c>
      <c r="E10" s="19" t="s">
        <v>45</v>
      </c>
      <c r="F10" s="8">
        <v>62000</v>
      </c>
      <c r="G10" s="8">
        <v>186</v>
      </c>
      <c r="H10" s="8">
        <f t="shared" si="0"/>
        <v>62186</v>
      </c>
    </row>
    <row r="11" spans="1:8" ht="25" customHeight="1" x14ac:dyDescent="0.2">
      <c r="A11" s="1">
        <v>10</v>
      </c>
      <c r="B11" s="6">
        <v>45806</v>
      </c>
      <c r="C11" s="7" t="s">
        <v>10</v>
      </c>
      <c r="D11" s="7">
        <v>266</v>
      </c>
      <c r="E11" s="19" t="s">
        <v>46</v>
      </c>
      <c r="F11" s="8">
        <v>30000</v>
      </c>
      <c r="G11" s="8">
        <v>100</v>
      </c>
      <c r="H11" s="8">
        <f t="shared" si="0"/>
        <v>30100</v>
      </c>
    </row>
    <row r="12" spans="1:8" ht="25" customHeight="1" x14ac:dyDescent="0.2">
      <c r="A12" s="1">
        <v>11</v>
      </c>
      <c r="B12" s="6">
        <v>45806</v>
      </c>
      <c r="C12" s="7" t="s">
        <v>11</v>
      </c>
      <c r="D12" s="7">
        <v>418</v>
      </c>
      <c r="E12" s="19" t="s">
        <v>47</v>
      </c>
      <c r="F12" s="8">
        <v>26000</v>
      </c>
      <c r="G12" s="8">
        <v>78</v>
      </c>
      <c r="H12" s="8">
        <f t="shared" si="0"/>
        <v>26078</v>
      </c>
    </row>
    <row r="13" spans="1:8" ht="25" customHeight="1" x14ac:dyDescent="0.2">
      <c r="A13" s="1">
        <v>12</v>
      </c>
      <c r="B13" s="6">
        <v>45806</v>
      </c>
      <c r="C13" s="7" t="s">
        <v>12</v>
      </c>
      <c r="D13" s="7">
        <v>192</v>
      </c>
      <c r="E13" s="19" t="s">
        <v>48</v>
      </c>
      <c r="F13" s="8">
        <v>21000</v>
      </c>
      <c r="G13" s="8">
        <v>63</v>
      </c>
      <c r="H13" s="8">
        <f t="shared" si="0"/>
        <v>21063</v>
      </c>
    </row>
    <row r="14" spans="1:8" ht="25" customHeight="1" x14ac:dyDescent="0.2">
      <c r="A14" s="1">
        <v>13</v>
      </c>
      <c r="B14" s="6">
        <v>45806</v>
      </c>
      <c r="C14" s="7" t="s">
        <v>13</v>
      </c>
      <c r="D14" s="7">
        <v>146</v>
      </c>
      <c r="E14" s="19" t="s">
        <v>49</v>
      </c>
      <c r="F14" s="8">
        <v>100000</v>
      </c>
      <c r="G14" s="8">
        <v>300</v>
      </c>
      <c r="H14" s="8">
        <f t="shared" si="0"/>
        <v>100300</v>
      </c>
    </row>
    <row r="15" spans="1:8" s="5" customFormat="1" ht="25" customHeight="1" x14ac:dyDescent="0.2">
      <c r="A15" s="5">
        <v>14</v>
      </c>
      <c r="B15" s="9">
        <v>45808</v>
      </c>
      <c r="C15" s="10" t="s">
        <v>14</v>
      </c>
      <c r="D15" s="10">
        <v>128</v>
      </c>
      <c r="E15" s="20" t="s">
        <v>50</v>
      </c>
      <c r="F15" s="11">
        <v>3000</v>
      </c>
      <c r="G15" s="11"/>
      <c r="H15" s="11">
        <f t="shared" si="0"/>
        <v>3000</v>
      </c>
    </row>
    <row r="16" spans="1:8" ht="25" customHeight="1" x14ac:dyDescent="0.2">
      <c r="A16" s="1">
        <v>16</v>
      </c>
      <c r="B16" s="6">
        <v>45810</v>
      </c>
      <c r="C16" s="7" t="s">
        <v>15</v>
      </c>
      <c r="D16" s="7">
        <v>550</v>
      </c>
      <c r="E16" s="19" t="s">
        <v>51</v>
      </c>
      <c r="F16" s="8">
        <v>9142.76</v>
      </c>
      <c r="G16" s="8">
        <v>188.95</v>
      </c>
      <c r="H16" s="8">
        <f t="shared" si="0"/>
        <v>9331.7100000000009</v>
      </c>
    </row>
    <row r="17" spans="1:10" s="5" customFormat="1" ht="25" customHeight="1" x14ac:dyDescent="0.2">
      <c r="A17" s="5">
        <v>17</v>
      </c>
      <c r="B17" s="9">
        <v>45810</v>
      </c>
      <c r="C17" s="10" t="s">
        <v>16</v>
      </c>
      <c r="D17" s="10">
        <v>64</v>
      </c>
      <c r="E17" s="20" t="s">
        <v>52</v>
      </c>
      <c r="F17" s="11">
        <v>3000</v>
      </c>
      <c r="G17" s="11"/>
      <c r="H17" s="11">
        <f t="shared" si="0"/>
        <v>3000</v>
      </c>
    </row>
    <row r="18" spans="1:10" ht="25" customHeight="1" x14ac:dyDescent="0.2">
      <c r="A18" s="1">
        <v>18</v>
      </c>
      <c r="B18" s="6">
        <v>45813</v>
      </c>
      <c r="C18" s="7" t="s">
        <v>17</v>
      </c>
      <c r="D18" s="7">
        <v>456</v>
      </c>
      <c r="E18" s="19" t="s">
        <v>53</v>
      </c>
      <c r="F18" s="8">
        <v>5672.67</v>
      </c>
      <c r="G18" s="8">
        <v>2.83</v>
      </c>
      <c r="H18" s="8">
        <f t="shared" si="0"/>
        <v>5675.5</v>
      </c>
    </row>
    <row r="19" spans="1:10" ht="25" customHeight="1" x14ac:dyDescent="0.2">
      <c r="A19" s="1">
        <v>19</v>
      </c>
      <c r="B19" s="6">
        <v>45832</v>
      </c>
      <c r="C19" s="7" t="s">
        <v>18</v>
      </c>
      <c r="D19" s="7">
        <v>438</v>
      </c>
      <c r="E19" s="19" t="s">
        <v>54</v>
      </c>
      <c r="F19" s="8">
        <v>26845.27</v>
      </c>
      <c r="G19" s="8">
        <v>536.91</v>
      </c>
      <c r="H19" s="8">
        <f t="shared" si="0"/>
        <v>27382.18</v>
      </c>
    </row>
    <row r="20" spans="1:10" ht="25" customHeight="1" x14ac:dyDescent="0.2">
      <c r="A20" s="1">
        <v>21</v>
      </c>
      <c r="B20" s="6">
        <v>45840</v>
      </c>
      <c r="C20" s="7" t="s">
        <v>19</v>
      </c>
      <c r="D20" s="7">
        <v>297</v>
      </c>
      <c r="E20" s="19">
        <v>628</v>
      </c>
      <c r="F20" s="8">
        <v>41575</v>
      </c>
      <c r="G20" s="8">
        <v>3679.39</v>
      </c>
      <c r="H20" s="8">
        <f t="shared" si="0"/>
        <v>45254.39</v>
      </c>
    </row>
    <row r="21" spans="1:10" ht="25" customHeight="1" x14ac:dyDescent="0.2">
      <c r="A21" s="1">
        <v>22</v>
      </c>
      <c r="B21" s="6">
        <v>45845</v>
      </c>
      <c r="C21" s="7" t="s">
        <v>20</v>
      </c>
      <c r="D21" s="7">
        <v>483</v>
      </c>
      <c r="E21" s="19" t="s">
        <v>55</v>
      </c>
      <c r="F21" s="8">
        <v>131252.07999999999</v>
      </c>
      <c r="G21" s="8">
        <v>306.25</v>
      </c>
      <c r="H21" s="8">
        <f t="shared" si="0"/>
        <v>131558.32999999999</v>
      </c>
    </row>
    <row r="22" spans="1:10" ht="25" customHeight="1" x14ac:dyDescent="0.2">
      <c r="A22" s="1">
        <v>23</v>
      </c>
      <c r="B22" s="6">
        <v>45845</v>
      </c>
      <c r="C22" s="7" t="s">
        <v>20</v>
      </c>
      <c r="D22" s="7">
        <v>483</v>
      </c>
      <c r="E22" s="19" t="s">
        <v>56</v>
      </c>
      <c r="F22" s="8">
        <v>36956.720000000001</v>
      </c>
      <c r="G22" s="8">
        <v>86.23</v>
      </c>
      <c r="H22" s="8">
        <f t="shared" si="0"/>
        <v>37042.950000000004</v>
      </c>
    </row>
    <row r="23" spans="1:10" ht="25" customHeight="1" x14ac:dyDescent="0.2">
      <c r="A23" s="1">
        <v>24</v>
      </c>
      <c r="B23" s="6">
        <v>45845</v>
      </c>
      <c r="C23" s="7" t="s">
        <v>20</v>
      </c>
      <c r="D23" s="7">
        <v>483</v>
      </c>
      <c r="E23" s="19" t="s">
        <v>57</v>
      </c>
      <c r="F23" s="8">
        <v>20402.849999999999</v>
      </c>
      <c r="G23" s="8">
        <v>47.61</v>
      </c>
      <c r="H23" s="8">
        <f t="shared" si="0"/>
        <v>20450.46</v>
      </c>
    </row>
    <row r="24" spans="1:10" ht="25" customHeight="1" x14ac:dyDescent="0.2">
      <c r="A24" s="1">
        <v>25</v>
      </c>
      <c r="B24" s="6">
        <v>45849</v>
      </c>
      <c r="C24" s="7" t="s">
        <v>21</v>
      </c>
      <c r="D24" s="7">
        <v>359</v>
      </c>
      <c r="E24" s="19">
        <v>642</v>
      </c>
      <c r="F24" s="8">
        <v>50000</v>
      </c>
      <c r="G24" s="8">
        <v>9175</v>
      </c>
      <c r="H24" s="8">
        <f t="shared" si="0"/>
        <v>59175</v>
      </c>
    </row>
    <row r="25" spans="1:10" ht="25" customHeight="1" x14ac:dyDescent="0.2">
      <c r="A25" s="1">
        <v>26</v>
      </c>
      <c r="B25" s="6">
        <v>45861</v>
      </c>
      <c r="C25" s="7" t="s">
        <v>22</v>
      </c>
      <c r="D25" s="7">
        <v>454</v>
      </c>
      <c r="E25" s="19" t="s">
        <v>58</v>
      </c>
      <c r="F25" s="8">
        <v>28519.01</v>
      </c>
      <c r="G25" s="8">
        <v>218.65</v>
      </c>
      <c r="H25" s="8">
        <f t="shared" si="0"/>
        <v>28737.66</v>
      </c>
    </row>
    <row r="26" spans="1:10" ht="25" customHeight="1" x14ac:dyDescent="0.2">
      <c r="B26" s="6">
        <v>45861</v>
      </c>
      <c r="C26" s="7" t="s">
        <v>22</v>
      </c>
      <c r="D26" s="7">
        <v>454</v>
      </c>
      <c r="E26" s="19" t="s">
        <v>59</v>
      </c>
      <c r="F26" s="8">
        <v>127630.67</v>
      </c>
      <c r="G26" s="8">
        <v>978.5</v>
      </c>
      <c r="H26" s="8">
        <f t="shared" si="0"/>
        <v>128609.17</v>
      </c>
    </row>
    <row r="27" spans="1:10" ht="25" customHeight="1" x14ac:dyDescent="0.2">
      <c r="B27" s="6">
        <v>45861</v>
      </c>
      <c r="C27" s="7" t="s">
        <v>22</v>
      </c>
      <c r="D27" s="7">
        <v>454</v>
      </c>
      <c r="E27" s="19" t="s">
        <v>60</v>
      </c>
      <c r="F27" s="8">
        <v>55937.120000000003</v>
      </c>
      <c r="G27" s="8">
        <v>428.85</v>
      </c>
      <c r="H27" s="8">
        <f t="shared" si="0"/>
        <v>56365.97</v>
      </c>
    </row>
    <row r="28" spans="1:10" ht="25" customHeight="1" x14ac:dyDescent="0.2">
      <c r="B28" s="6">
        <v>45875</v>
      </c>
      <c r="C28" s="7" t="s">
        <v>23</v>
      </c>
      <c r="D28" s="7">
        <v>343</v>
      </c>
      <c r="E28" s="19">
        <v>726</v>
      </c>
      <c r="F28" s="8">
        <v>126291.55</v>
      </c>
      <c r="G28" s="8">
        <v>252.58</v>
      </c>
      <c r="H28" s="8">
        <f t="shared" si="0"/>
        <v>126544.13</v>
      </c>
    </row>
    <row r="29" spans="1:10" ht="25" customHeight="1" x14ac:dyDescent="0.2">
      <c r="B29" s="6">
        <v>45875</v>
      </c>
      <c r="C29" s="7" t="s">
        <v>23</v>
      </c>
      <c r="D29" s="7">
        <v>343</v>
      </c>
      <c r="E29" s="19" t="s">
        <v>61</v>
      </c>
      <c r="F29" s="8">
        <v>9456.7000000000007</v>
      </c>
      <c r="G29" s="8">
        <v>18.91</v>
      </c>
      <c r="H29" s="8">
        <f t="shared" si="0"/>
        <v>9475.61</v>
      </c>
    </row>
    <row r="30" spans="1:10" ht="25" customHeight="1" x14ac:dyDescent="0.2">
      <c r="B30" s="6">
        <v>45875</v>
      </c>
      <c r="C30" s="7" t="s">
        <v>24</v>
      </c>
      <c r="D30" s="7">
        <v>244</v>
      </c>
      <c r="E30" s="19" t="s">
        <v>66</v>
      </c>
      <c r="F30" s="8">
        <v>2466.41</v>
      </c>
      <c r="G30" s="8">
        <v>23.02</v>
      </c>
      <c r="H30" s="8">
        <f t="shared" si="0"/>
        <v>2489.4299999999998</v>
      </c>
    </row>
    <row r="31" spans="1:10" ht="25" customHeight="1" x14ac:dyDescent="0.2">
      <c r="B31" s="6">
        <v>45881</v>
      </c>
      <c r="C31" s="7" t="s">
        <v>25</v>
      </c>
      <c r="D31" s="7">
        <v>524</v>
      </c>
      <c r="E31" s="19">
        <v>732</v>
      </c>
      <c r="F31" s="8">
        <v>44400</v>
      </c>
      <c r="G31" s="8">
        <v>6848.79</v>
      </c>
      <c r="H31" s="8">
        <f t="shared" si="0"/>
        <v>51248.79</v>
      </c>
    </row>
    <row r="32" spans="1:10" s="12" customFormat="1" ht="25" customHeight="1" x14ac:dyDescent="0.2">
      <c r="B32" s="13">
        <v>45897</v>
      </c>
      <c r="C32" s="14" t="s">
        <v>29</v>
      </c>
      <c r="D32" s="14">
        <v>422</v>
      </c>
      <c r="E32" s="21">
        <v>785</v>
      </c>
      <c r="F32" s="15">
        <v>16498.34</v>
      </c>
      <c r="G32" s="15">
        <v>1833.33</v>
      </c>
      <c r="H32" s="15">
        <f t="shared" ref="H32:H33" si="1">SUM(F32:G32)</f>
        <v>18331.669999999998</v>
      </c>
      <c r="J32" s="16"/>
    </row>
    <row r="33" spans="2:10" s="12" customFormat="1" ht="25" customHeight="1" x14ac:dyDescent="0.2">
      <c r="B33" s="13">
        <v>45897</v>
      </c>
      <c r="C33" s="14" t="s">
        <v>29</v>
      </c>
      <c r="D33" s="14">
        <v>422</v>
      </c>
      <c r="E33" s="21" t="s">
        <v>62</v>
      </c>
      <c r="F33" s="15">
        <v>0</v>
      </c>
      <c r="G33" s="15">
        <v>1668.33</v>
      </c>
      <c r="H33" s="15">
        <f t="shared" si="1"/>
        <v>1668.33</v>
      </c>
      <c r="J33" s="16"/>
    </row>
    <row r="34" spans="2:10" ht="25" customHeight="1" x14ac:dyDescent="0.2">
      <c r="B34" s="6">
        <v>45904</v>
      </c>
      <c r="C34" s="7" t="s">
        <v>21</v>
      </c>
      <c r="D34" s="7">
        <v>359</v>
      </c>
      <c r="E34" s="19">
        <v>803</v>
      </c>
      <c r="F34" s="8">
        <v>10405.52</v>
      </c>
      <c r="G34" s="8">
        <v>17.34</v>
      </c>
      <c r="H34" s="8">
        <f t="shared" si="0"/>
        <v>10422.86</v>
      </c>
    </row>
    <row r="35" spans="2:10" ht="25" customHeight="1" x14ac:dyDescent="0.2">
      <c r="B35" s="6">
        <v>45920</v>
      </c>
      <c r="C35" s="7" t="s">
        <v>26</v>
      </c>
      <c r="D35" s="7">
        <v>282</v>
      </c>
      <c r="E35" s="19">
        <v>815</v>
      </c>
      <c r="F35" s="8">
        <v>24950</v>
      </c>
      <c r="G35" s="8">
        <v>2657.18</v>
      </c>
      <c r="H35" s="8">
        <f t="shared" si="0"/>
        <v>27607.18</v>
      </c>
    </row>
    <row r="36" spans="2:10" ht="25" customHeight="1" x14ac:dyDescent="0.2">
      <c r="B36" s="6">
        <v>45923</v>
      </c>
      <c r="C36" s="7" t="s">
        <v>27</v>
      </c>
      <c r="D36" s="7">
        <v>216</v>
      </c>
      <c r="E36" s="19">
        <v>830</v>
      </c>
      <c r="F36" s="8">
        <v>22040.38</v>
      </c>
      <c r="G36" s="8">
        <v>183.67</v>
      </c>
      <c r="H36" s="8">
        <f t="shared" si="0"/>
        <v>22224.05</v>
      </c>
    </row>
    <row r="37" spans="2:10" ht="25" customHeight="1" x14ac:dyDescent="0.2">
      <c r="B37" s="6">
        <v>45927</v>
      </c>
      <c r="C37" s="7" t="s">
        <v>28</v>
      </c>
      <c r="D37" s="7">
        <v>237</v>
      </c>
      <c r="E37" s="19">
        <v>855</v>
      </c>
      <c r="F37" s="8">
        <v>29363.57</v>
      </c>
      <c r="G37" s="8">
        <v>274.06</v>
      </c>
      <c r="H37" s="8">
        <f t="shared" si="0"/>
        <v>29637.63</v>
      </c>
    </row>
    <row r="38" spans="2:10" s="12" customFormat="1" ht="25" customHeight="1" x14ac:dyDescent="0.2">
      <c r="B38" s="13">
        <v>45930</v>
      </c>
      <c r="C38" s="14" t="s">
        <v>29</v>
      </c>
      <c r="D38" s="14">
        <v>422</v>
      </c>
      <c r="E38" s="21">
        <v>871</v>
      </c>
      <c r="F38" s="15">
        <v>19178.64</v>
      </c>
      <c r="G38" s="15">
        <v>410.68</v>
      </c>
      <c r="H38" s="15">
        <f t="shared" ref="H38" si="2">SUM(F38:G38)</f>
        <v>19589.32</v>
      </c>
    </row>
    <row r="39" spans="2:10" s="12" customFormat="1" ht="25" customHeight="1" x14ac:dyDescent="0.2">
      <c r="B39" s="13">
        <v>45938</v>
      </c>
      <c r="C39" s="14" t="s">
        <v>68</v>
      </c>
      <c r="D39" s="14">
        <v>129</v>
      </c>
      <c r="E39" s="17" t="s">
        <v>67</v>
      </c>
      <c r="F39" s="15">
        <v>3000</v>
      </c>
      <c r="G39" s="15">
        <v>0</v>
      </c>
      <c r="H39" s="15">
        <f>SUM(F39:G39)</f>
        <v>3000</v>
      </c>
      <c r="J39" s="16"/>
    </row>
    <row r="40" spans="2:10" s="12" customFormat="1" ht="25" customHeight="1" x14ac:dyDescent="0.2">
      <c r="B40" s="13">
        <v>45958</v>
      </c>
      <c r="C40" s="14" t="s">
        <v>29</v>
      </c>
      <c r="D40" s="14">
        <v>422</v>
      </c>
      <c r="E40" s="17" t="s">
        <v>63</v>
      </c>
      <c r="F40" s="15">
        <v>19323.02</v>
      </c>
      <c r="G40" s="15">
        <v>180.35</v>
      </c>
      <c r="H40" s="15">
        <f>SUM(F40:G40)</f>
        <v>19503.37</v>
      </c>
      <c r="J40" s="16"/>
    </row>
    <row r="41" spans="2:10" s="12" customFormat="1" ht="25" customHeight="1" x14ac:dyDescent="0.2">
      <c r="B41" s="13">
        <v>45985</v>
      </c>
      <c r="C41" s="14" t="s">
        <v>7</v>
      </c>
      <c r="D41" s="14">
        <v>313</v>
      </c>
      <c r="E41" s="21" t="s">
        <v>69</v>
      </c>
      <c r="F41" s="15">
        <v>24000</v>
      </c>
      <c r="G41" s="15">
        <v>8</v>
      </c>
      <c r="H41" s="15">
        <f t="shared" ref="H41" si="3">SUM(F41:G41)</f>
        <v>24008</v>
      </c>
    </row>
    <row r="42" spans="2:10" s="12" customFormat="1" ht="25" customHeight="1" x14ac:dyDescent="0.2">
      <c r="B42" s="13">
        <v>45985</v>
      </c>
      <c r="C42" s="14" t="s">
        <v>70</v>
      </c>
      <c r="D42" s="14">
        <v>202</v>
      </c>
      <c r="E42" s="21" t="s">
        <v>71</v>
      </c>
      <c r="F42" s="15">
        <v>50000</v>
      </c>
      <c r="G42" s="15">
        <v>67</v>
      </c>
      <c r="H42" s="15">
        <f t="shared" ref="H42:H44" si="4">SUM(F42:G42)</f>
        <v>50067</v>
      </c>
    </row>
    <row r="43" spans="2:10" s="12" customFormat="1" ht="25" customHeight="1" x14ac:dyDescent="0.2">
      <c r="B43" s="13">
        <v>45986</v>
      </c>
      <c r="C43" s="14" t="s">
        <v>72</v>
      </c>
      <c r="D43" s="14">
        <v>335</v>
      </c>
      <c r="E43" s="21" t="s">
        <v>73</v>
      </c>
      <c r="F43" s="15">
        <v>14000</v>
      </c>
      <c r="G43" s="15">
        <v>23.33</v>
      </c>
      <c r="H43" s="15">
        <f t="shared" si="4"/>
        <v>14023.33</v>
      </c>
    </row>
    <row r="44" spans="2:10" s="12" customFormat="1" ht="25" customHeight="1" x14ac:dyDescent="0.2">
      <c r="B44" s="13">
        <v>45990</v>
      </c>
      <c r="C44" s="14" t="s">
        <v>64</v>
      </c>
      <c r="D44" s="14">
        <v>185</v>
      </c>
      <c r="E44" s="21" t="s">
        <v>65</v>
      </c>
      <c r="F44" s="15">
        <v>48392.61</v>
      </c>
      <c r="G44" s="15">
        <v>2806.77</v>
      </c>
      <c r="H44" s="15">
        <f t="shared" si="4"/>
        <v>51199.38</v>
      </c>
    </row>
    <row r="45" spans="2:10" s="12" customFormat="1" ht="25" customHeight="1" x14ac:dyDescent="0.2">
      <c r="B45" s="13">
        <v>45990</v>
      </c>
      <c r="C45" s="14" t="s">
        <v>74</v>
      </c>
      <c r="D45" s="14">
        <v>554</v>
      </c>
      <c r="E45" s="21" t="s">
        <v>75</v>
      </c>
      <c r="F45" s="15">
        <v>40250</v>
      </c>
      <c r="G45" s="15">
        <v>14533.67</v>
      </c>
      <c r="H45" s="15">
        <f t="shared" si="0"/>
        <v>54783.67</v>
      </c>
    </row>
  </sheetData>
  <pageMargins left="0.7" right="0.7" top="0.28000000000000003" bottom="0.31" header="0.3" footer="0.3"/>
  <pageSetup paperSize="5" scale="7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UserBook</dc:creator>
  <cp:lastModifiedBy>Mark John Lerry Casero</cp:lastModifiedBy>
  <cp:lastPrinted>2025-10-31T17:51:55Z</cp:lastPrinted>
  <dcterms:created xsi:type="dcterms:W3CDTF">2025-10-15T18:27:39Z</dcterms:created>
  <dcterms:modified xsi:type="dcterms:W3CDTF">2025-12-13T07:57:26Z</dcterms:modified>
</cp:coreProperties>
</file>